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DIS\Desktop\BEST START\"/>
    </mc:Choice>
  </mc:AlternateContent>
  <xr:revisionPtr revIDLastSave="0" documentId="13_ncr:1_{2F1B9C85-1FEF-4A4C-B636-E79B91D4D25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SULT SHEET " sheetId="1" r:id="rId1"/>
  </sheets>
  <definedNames>
    <definedName name="_xlnm.Print_Area" localSheetId="0">'RESULT SHEET '!$A$1:$M$34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" i="1" l="1"/>
  <c r="P11" i="1"/>
  <c r="P12" i="1"/>
  <c r="P13" i="1"/>
  <c r="P14" i="1"/>
  <c r="P15" i="1"/>
  <c r="P16" i="1"/>
  <c r="P17" i="1"/>
  <c r="P18" i="1"/>
  <c r="P19" i="1"/>
  <c r="P20" i="1"/>
  <c r="P21" i="1"/>
  <c r="O11" i="1"/>
  <c r="O12" i="1"/>
  <c r="O13" i="1"/>
  <c r="O14" i="1"/>
  <c r="O15" i="1"/>
  <c r="O16" i="1"/>
  <c r="O17" i="1"/>
  <c r="O18" i="1"/>
  <c r="O19" i="1"/>
  <c r="O20" i="1"/>
  <c r="O21" i="1"/>
  <c r="I11" i="1"/>
  <c r="I12" i="1"/>
  <c r="I13" i="1"/>
  <c r="I14" i="1"/>
  <c r="I15" i="1"/>
  <c r="I16" i="1"/>
  <c r="I17" i="1"/>
  <c r="I18" i="1"/>
  <c r="I19" i="1"/>
  <c r="I20" i="1"/>
  <c r="I21" i="1"/>
  <c r="L21" i="1"/>
  <c r="M21" i="1" s="1"/>
  <c r="G21" i="1"/>
  <c r="E21" i="1"/>
  <c r="E20" i="1"/>
  <c r="G20" i="1" s="1"/>
  <c r="G19" i="1"/>
  <c r="L19" i="1" s="1"/>
  <c r="M19" i="1" s="1"/>
  <c r="E19" i="1"/>
  <c r="E18" i="1"/>
  <c r="G18" i="1" s="1"/>
  <c r="L17" i="1"/>
  <c r="M17" i="1" s="1"/>
  <c r="G17" i="1"/>
  <c r="E17" i="1"/>
  <c r="E16" i="1"/>
  <c r="G16" i="1" s="1"/>
  <c r="G15" i="1"/>
  <c r="L15" i="1" s="1"/>
  <c r="M15" i="1" s="1"/>
  <c r="E15" i="1"/>
  <c r="E14" i="1"/>
  <c r="G14" i="1" s="1"/>
  <c r="E13" i="1"/>
  <c r="G13" i="1" s="1"/>
  <c r="E12" i="1"/>
  <c r="G12" i="1" s="1"/>
  <c r="E11" i="1"/>
  <c r="G11" i="1" s="1"/>
  <c r="L11" i="1" s="1"/>
  <c r="M11" i="1" s="1"/>
  <c r="E10" i="1"/>
  <c r="G10" i="1" s="1"/>
  <c r="I10" i="1" s="1"/>
  <c r="E9" i="1"/>
  <c r="G9" i="1" s="1"/>
  <c r="I9" i="1" s="1"/>
  <c r="L13" i="1" l="1"/>
  <c r="M13" i="1" s="1"/>
  <c r="D23" i="1"/>
  <c r="L9" i="1"/>
  <c r="L18" i="1"/>
  <c r="M18" i="1" s="1"/>
  <c r="L16" i="1"/>
  <c r="M16" i="1" s="1"/>
  <c r="L12" i="1"/>
  <c r="M12" i="1" s="1"/>
  <c r="L14" i="1"/>
  <c r="M14" i="1" s="1"/>
  <c r="L10" i="1"/>
  <c r="L20" i="1"/>
  <c r="M20" i="1" s="1"/>
  <c r="M9" i="1" l="1"/>
  <c r="D24" i="1"/>
  <c r="M10" i="1"/>
  <c r="P10" i="1" l="1"/>
  <c r="O10" i="1"/>
  <c r="D27" i="1"/>
  <c r="D25" i="1"/>
  <c r="P9" i="1"/>
  <c r="D28" i="1"/>
  <c r="D26" i="1"/>
</calcChain>
</file>

<file path=xl/sharedStrings.xml><?xml version="1.0" encoding="utf-8"?>
<sst xmlns="http://schemas.openxmlformats.org/spreadsheetml/2006/main" count="66" uniqueCount="64">
  <si>
    <t>ADM. NO:</t>
  </si>
  <si>
    <t>SEX:</t>
  </si>
  <si>
    <t>AGE:</t>
  </si>
  <si>
    <t>TERM:</t>
  </si>
  <si>
    <t xml:space="preserve">CLASS: </t>
  </si>
  <si>
    <t>BASIC SEVEN</t>
  </si>
  <si>
    <t>HOUSE:</t>
  </si>
  <si>
    <t>POSITION:</t>
  </si>
  <si>
    <t>SESSION:</t>
  </si>
  <si>
    <t>S/N</t>
  </si>
  <si>
    <t>SUBJECTS</t>
  </si>
  <si>
    <t>1st CA 20 mks</t>
  </si>
  <si>
    <t>2nd CA 20 mks</t>
  </si>
  <si>
    <t>Total CA 40 mks</t>
  </si>
  <si>
    <t>Exam 60 mks</t>
  </si>
  <si>
    <t>Term Total 100mk</t>
  </si>
  <si>
    <t>Position</t>
  </si>
  <si>
    <t>Grade</t>
  </si>
  <si>
    <t>1st Term Total</t>
  </si>
  <si>
    <t>2nd Term Total</t>
  </si>
  <si>
    <t>Cumm Score 300mk</t>
  </si>
  <si>
    <t>Cumm Ave 100mk</t>
  </si>
  <si>
    <t xml:space="preserve">REMARK
</t>
  </si>
  <si>
    <t>Initial</t>
  </si>
  <si>
    <t>ENGLISH LANGUAGE</t>
  </si>
  <si>
    <t>MATHEMATICS</t>
  </si>
  <si>
    <t>BUSINESS STUDIES</t>
  </si>
  <si>
    <t>FRENCH LANGUAGE</t>
  </si>
  <si>
    <t>HAUSA LANGUAGE</t>
  </si>
  <si>
    <t>INTERMEDIATE SCIENCE</t>
  </si>
  <si>
    <t>P.H.E.</t>
  </si>
  <si>
    <t>DIGITAL TECHNOLOGY</t>
  </si>
  <si>
    <t>NIGERIAN HISTORY</t>
  </si>
  <si>
    <t>SOCIAL AND CITIZENSHIP STUDIES</t>
  </si>
  <si>
    <t>CULTURAL &amp; CREATIVE ARTS</t>
  </si>
  <si>
    <t>TRADE</t>
  </si>
  <si>
    <t>RELIGIOUS STUDIES</t>
  </si>
  <si>
    <t>Cumm. Total:</t>
  </si>
  <si>
    <t>Time Absent:</t>
  </si>
  <si>
    <t>Cumm. Ave:</t>
  </si>
  <si>
    <t>Time School Opened:</t>
  </si>
  <si>
    <t>No. of Credit &amp; above:</t>
  </si>
  <si>
    <t>Cause of Absence:</t>
  </si>
  <si>
    <t>No. of Passes:</t>
  </si>
  <si>
    <t>GRADING KEY</t>
  </si>
  <si>
    <t>No. of Failures:</t>
  </si>
  <si>
    <t>Next term begins:</t>
  </si>
  <si>
    <t>SCORE</t>
  </si>
  <si>
    <t>GRADE / REMARK</t>
  </si>
  <si>
    <t>Class Teacher's comment:</t>
  </si>
  <si>
    <t>70–100</t>
  </si>
  <si>
    <t>A — Excellent</t>
  </si>
  <si>
    <t>Principal's comment:</t>
  </si>
  <si>
    <t>50–69</t>
  </si>
  <si>
    <t>C — Credit</t>
  </si>
  <si>
    <t>principal's signature:</t>
  </si>
  <si>
    <t>40–49</t>
  </si>
  <si>
    <t>P — Pass</t>
  </si>
  <si>
    <t>0–39</t>
  </si>
  <si>
    <t>F — Fail</t>
  </si>
  <si>
    <t>R2 BEST START COLLEGE ROAD, MANNDO, KADUNA</t>
  </si>
  <si>
    <t xml:space="preserve">Current Term Ave: </t>
  </si>
  <si>
    <t>EXAMINATION CUMULATIVE RECORD SHEET FOR JUNIOR SECONDARY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</si>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</sst>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theme="1"/>
      <name val="Tahoma"/>
      <family val="2"/>
      <charset val="1"/>
    </font>
    <font>
      <i/>
      <sz val="7"/>
      <color rgb="FFAAAAAA"/>
      <name val="Times New Roman"/>
      <family val="1"/>
      <charset val="1"/>
    </font>
    <font>
      <b/>
      <sz val="20"/>
      <name val="Arial Black"/>
      <family val="2"/>
      <charset val="1"/>
    </font>
    <font>
      <i/>
      <sz val="9"/>
      <name val="Arial Black"/>
      <family val="2"/>
      <charset val="1"/>
    </font>
    <font>
      <b/>
      <sz val="11"/>
      <name val="Arial Black"/>
      <family val="2"/>
      <charset val="1"/>
    </font>
    <font>
      <sz val="11"/>
      <color theme="1"/>
      <name val="Arial Black"/>
      <family val="2"/>
      <charset val="1"/>
    </font>
    <font>
      <b/>
      <sz val="8"/>
      <name val="Arial Black"/>
      <family val="2"/>
      <charset val="1"/>
    </font>
    <font>
      <b/>
      <sz val="11"/>
      <name val="Calibri"/>
      <family val="2"/>
      <charset val="1"/>
    </font>
    <font>
      <sz val="9"/>
      <name val="Arial Black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Tahoma"/>
      <family val="2"/>
      <charset val="1"/>
    </font>
    <font>
      <sz val="8"/>
      <name val="Arial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AAAAAA"/>
      </patternFill>
    </fill>
    <fill>
      <patternFill patternType="solid">
        <fgColor rgb="FFD9D9D9"/>
        <bgColor rgb="FFD9EAD3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Protection="1"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1" fillId="0" borderId="0" xfId="0" applyFont="1"/>
    <xf numFmtId="0" fontId="6" fillId="0" borderId="5" xfId="0" applyFont="1" applyBorder="1" applyProtection="1"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6" fillId="0" borderId="0" xfId="0" applyFont="1"/>
    <xf numFmtId="0" fontId="6" fillId="0" borderId="8" xfId="0" applyFont="1" applyBorder="1" applyProtection="1"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0" fillId="0" borderId="9" xfId="0" applyBorder="1" applyProtection="1"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textRotation="90"/>
      <protection locked="0"/>
    </xf>
    <xf numFmtId="0" fontId="11" fillId="0" borderId="11" xfId="0" applyFont="1" applyBorder="1" applyAlignment="1" applyProtection="1">
      <alignment vertical="center" wrapText="1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11" fillId="0" borderId="12" xfId="0" applyFont="1" applyBorder="1" applyAlignment="1">
      <alignment horizontal="center" vertical="center"/>
    </xf>
    <xf numFmtId="2" fontId="11" fillId="0" borderId="12" xfId="0" applyNumberFormat="1" applyFont="1" applyBorder="1" applyAlignment="1">
      <alignment horizontal="center" vertical="center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1" fillId="0" borderId="12" xfId="0" applyFont="1" applyBorder="1" applyProtection="1">
      <protection locked="0"/>
    </xf>
    <xf numFmtId="0" fontId="0" fillId="0" borderId="7" xfId="0" applyBorder="1" applyProtection="1">
      <protection locked="0"/>
    </xf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16" xfId="0" applyBorder="1" applyProtection="1">
      <protection locked="0"/>
    </xf>
    <xf numFmtId="0" fontId="13" fillId="3" borderId="12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left" vertical="center"/>
      <protection locked="0"/>
    </xf>
    <xf numFmtId="2" fontId="11" fillId="0" borderId="13" xfId="0" applyNumberFormat="1" applyFont="1" applyBorder="1" applyAlignment="1">
      <alignment horizontal="center" vertical="center"/>
    </xf>
    <xf numFmtId="0" fontId="11" fillId="0" borderId="7" xfId="0" applyFont="1" applyBorder="1" applyAlignment="1" applyProtection="1">
      <alignment horizontal="left" vertical="center"/>
      <protection locked="0"/>
    </xf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11" fillId="0" borderId="15" xfId="0" applyFont="1" applyBorder="1" applyAlignment="1" applyProtection="1">
      <alignment horizontal="left" vertical="center"/>
      <protection locked="0"/>
    </xf>
    <xf numFmtId="0" fontId="0" fillId="0" borderId="16" xfId="0" applyBorder="1" applyProtection="1">
      <protection locked="0"/>
    </xf>
    <xf numFmtId="0" fontId="11" fillId="0" borderId="13" xfId="0" applyFont="1" applyBorder="1" applyAlignment="1" applyProtection="1">
      <alignment horizontal="left" vertical="center" wrapText="1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0" fontId="1" fillId="0" borderId="13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3" fillId="2" borderId="13" xfId="0" applyFont="1" applyFill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0" fillId="0" borderId="10" xfId="0" applyBorder="1" applyProtection="1"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2" fontId="11" fillId="0" borderId="13" xfId="0" applyNumberFormat="1" applyFont="1" applyBorder="1" applyAlignment="1" applyProtection="1">
      <alignment horizontal="center" vertical="center"/>
      <protection locked="0"/>
    </xf>
    <xf numFmtId="2" fontId="11" fillId="0" borderId="7" xfId="0" applyNumberFormat="1" applyFont="1" applyBorder="1" applyAlignment="1" applyProtection="1">
      <alignment horizontal="center" vertical="center"/>
      <protection locked="0"/>
    </xf>
    <xf numFmtId="2" fontId="11" fillId="0" borderId="14" xfId="0" applyNumberFormat="1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8" fillId="0" borderId="7" xfId="0" applyFont="1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9360</xdr:rowOff>
    </xdr:from>
    <xdr:to>
      <xdr:col>1</xdr:col>
      <xdr:colOff>713880</xdr:colOff>
      <xdr:row>3</xdr:row>
      <xdr:rowOff>151920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2960" y="9360"/>
          <a:ext cx="713880" cy="8283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857249</xdr:colOff>
      <xdr:row>0</xdr:row>
      <xdr:rowOff>28575</xdr:rowOff>
    </xdr:from>
    <xdr:to>
      <xdr:col>15</xdr:col>
      <xdr:colOff>714374</xdr:colOff>
      <xdr:row>1</xdr:row>
      <xdr:rowOff>371475</xdr:rowOff>
    </xdr:to>
    <xdr:sp macro="" textlink="">
      <xdr:nvSpPr>
        <xdr:cNvPr id="3" name="BSA Title Word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95399" y="28575"/>
          <a:ext cx="7134225" cy="495300"/>
        </a:xfrm>
        <a:prstGeom prst="rect">
          <a:avLst/>
        </a:prstGeom>
      </xdr:spPr>
      <xdr:txBody>
        <a:bodyPr vertOverflow="clip" horzOverflow="clip" wrap="none" lIns="96480" tIns="51480" rIns="96480" bIns="51480" anchor="ctr" anchorCtr="1">
          <a:prstTxWarp prst="textWave1">
            <a:avLst>
              <a:gd name="adj1" fmla="val 20000"/>
              <a:gd name="adj2" fmla="val -594"/>
            </a:avLst>
          </a:prstTxWarp>
          <a:noAutofit/>
        </a:bodyPr>
        <a:lstStyle/>
        <a:p>
          <a:pPr algn="ctr">
            <a:lnSpc>
              <a:spcPct val="100000"/>
            </a:lnSpc>
          </a:pPr>
          <a:r>
            <a:rPr lang="en-US" sz="2200" b="1" strike="noStrike" spc="-1">
              <a:ln w="12960">
                <a:solidFill>
                  <a:srgbClr val="000000"/>
                </a:solidFill>
                <a:round/>
              </a:ln>
              <a:solidFill>
                <a:srgbClr val="000000"/>
              </a:solidFill>
              <a:latin typeface="Bodoni MT Black" panose="02070A03080606020203" pitchFamily="18" charset="0"/>
            </a:rPr>
            <a:t>BEST START ACADEMY</a:t>
          </a:r>
          <a:endParaRPr lang="en-US" sz="2200" b="0" strike="noStrike" spc="-1">
            <a:ln w="12960">
              <a:solidFill>
                <a:srgbClr val="000000"/>
              </a:solidFill>
              <a:round/>
            </a:ln>
            <a:solidFill>
              <a:srgbClr val="000000"/>
            </a:solidFill>
            <a:latin typeface="Bodoni MT Black" panose="02070A03080606020203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O9" sqref="O9"/>
    </sheetView>
  </sheetViews>
  <sheetFormatPr defaultColWidth="8.7109375" defaultRowHeight="15" x14ac:dyDescent="0.25"/>
  <cols>
    <col min="1" max="1" width="6.5703125" customWidth="1"/>
    <col min="2" max="2" width="33.42578125" customWidth="1"/>
    <col min="3" max="3" width="7.28515625" customWidth="1"/>
    <col min="4" max="4" width="6.140625" customWidth="1"/>
    <col min="5" max="5" width="5.5703125" customWidth="1"/>
    <col min="6" max="6" width="5.7109375" customWidth="1"/>
    <col min="7" max="7" width="5.85546875" style="6" customWidth="1"/>
    <col min="8" max="9" width="5" customWidth="1"/>
    <col min="10" max="10" width="4.5703125" customWidth="1"/>
    <col min="11" max="11" width="4.7109375" customWidth="1"/>
    <col min="12" max="12" width="6" customWidth="1"/>
    <col min="13" max="13" width="7.7109375" customWidth="1"/>
    <col min="14" max="14" width="5" customWidth="1"/>
    <col min="15" max="15" width="8" customWidth="1"/>
    <col min="16" max="16" width="12.85546875" customWidth="1"/>
    <col min="17" max="17" width="9.140625" customWidth="1"/>
    <col min="18" max="18" width="2.140625" customWidth="1"/>
    <col min="19" max="19" width="3.28515625" hidden="1" customWidth="1"/>
    <col min="21" max="21" width="11.7109375" customWidth="1"/>
  </cols>
  <sheetData>
    <row r="1" spans="1:18" ht="12" customHeight="1" x14ac:dyDescent="0.25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</row>
    <row r="2" spans="1:18" ht="30" customHeight="1" x14ac:dyDescent="0.25">
      <c r="A2" s="53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5"/>
    </row>
    <row r="3" spans="1:18" ht="12" customHeight="1" x14ac:dyDescent="0.25">
      <c r="A3" s="53"/>
      <c r="B3" s="57" t="s">
        <v>60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5"/>
    </row>
    <row r="4" spans="1:18" ht="15.75" customHeight="1" x14ac:dyDescent="0.25">
      <c r="A4" s="53"/>
      <c r="B4" s="58" t="s">
        <v>62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5"/>
    </row>
    <row r="5" spans="1:18" ht="12.75" customHeight="1" x14ac:dyDescent="0.4">
      <c r="A5" s="7"/>
      <c r="B5" s="51" t="s">
        <v>63</v>
      </c>
      <c r="C5" s="51"/>
      <c r="D5" s="51"/>
      <c r="E5" s="51"/>
      <c r="F5" s="51"/>
      <c r="G5" s="52" t="s">
        <v>0</v>
      </c>
      <c r="H5" s="52"/>
      <c r="I5" s="45"/>
      <c r="J5" s="45"/>
      <c r="K5" s="45"/>
      <c r="L5" s="3" t="s">
        <v>1</v>
      </c>
      <c r="M5" s="8"/>
      <c r="N5" s="4" t="s">
        <v>2</v>
      </c>
      <c r="O5" s="3"/>
      <c r="P5" s="4" t="s">
        <v>3</v>
      </c>
      <c r="Q5" s="9"/>
      <c r="R5" s="10"/>
    </row>
    <row r="6" spans="1:18" ht="24" customHeight="1" x14ac:dyDescent="0.4">
      <c r="A6" s="11"/>
      <c r="B6" s="5" t="s">
        <v>4</v>
      </c>
      <c r="C6" s="44" t="s">
        <v>5</v>
      </c>
      <c r="D6" s="44"/>
      <c r="E6" s="44"/>
      <c r="F6" s="45" t="s">
        <v>6</v>
      </c>
      <c r="G6" s="45"/>
      <c r="H6" s="44"/>
      <c r="I6" s="44"/>
      <c r="J6" s="45" t="s">
        <v>7</v>
      </c>
      <c r="K6" s="45"/>
      <c r="L6" s="44"/>
      <c r="M6" s="44"/>
      <c r="N6" s="45" t="s">
        <v>8</v>
      </c>
      <c r="O6" s="45"/>
      <c r="P6" s="3"/>
      <c r="Q6" s="12"/>
      <c r="R6" s="10"/>
    </row>
    <row r="7" spans="1:18" ht="6.75" hidden="1" customHeight="1" x14ac:dyDescent="0.25">
      <c r="A7" s="13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13"/>
    </row>
    <row r="8" spans="1:18" ht="93.75" customHeight="1" x14ac:dyDescent="0.25">
      <c r="A8" s="14" t="s">
        <v>9</v>
      </c>
      <c r="B8" s="14" t="s">
        <v>10</v>
      </c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16</v>
      </c>
      <c r="O8" s="15" t="s">
        <v>17</v>
      </c>
      <c r="P8" s="16" t="s">
        <v>22</v>
      </c>
      <c r="Q8" s="15" t="s">
        <v>23</v>
      </c>
    </row>
    <row r="9" spans="1:18" ht="12.75" customHeight="1" x14ac:dyDescent="0.25">
      <c r="A9" s="17">
        <v>1</v>
      </c>
      <c r="B9" s="18" t="s">
        <v>24</v>
      </c>
      <c r="C9" s="17"/>
      <c r="D9" s="17"/>
      <c r="E9" s="19" t="str">
        <f t="shared" ref="E9:E21" si="0">IF(AND(C9="",D9=""),"",IFERROR(IF(ISNUMBER(C9),C9,0)+IF(ISNUMBER(D9),D9,0),""))</f>
        <v/>
      </c>
      <c r="F9" s="17"/>
      <c r="G9" s="19" t="str">
        <f t="shared" ref="G9:G21" si="1">IF(AND(E9="",F9=""),"",IFERROR(IF(ISNUMBER(E9),E9,0)+IF(ISNUMBER(F9),F9,0),""))</f>
        <v/>
      </c>
      <c r="H9" s="17"/>
      <c r="I9" s="19" t="str">
        <f>IF(G9="","",IF(G9&gt;=70,"A",IF(G9&gt;=50,"C",IF(G9&gt;=40,"P","F"))))</f>
        <v/>
      </c>
      <c r="J9" s="17"/>
      <c r="K9" s="17"/>
      <c r="L9" s="19" t="str">
        <f t="shared" ref="L9:L21" si="2">IF(AND(J9="",K9="",G9=""),"",IFERROR(IF(ISNUMBER(J9),J9,0)+IF(ISNUMBER(K9),K9,0)+IF(ISNUMBER(G9),G9,0),""))</f>
        <v/>
      </c>
      <c r="M9" s="20" t="str">
        <f t="shared" ref="M9:M21" si="3">IF(L9="","",IFERROR(ROUND(L9/3,2),""))</f>
        <v/>
      </c>
      <c r="N9" s="17"/>
      <c r="O9" s="19" t="str">
        <f>IF(M9="","",IF(M9&gt;=70,"A",IF(M9&gt;=50,"C",IF(M9&gt;=40,"P","F"))))</f>
        <v/>
      </c>
      <c r="P9" s="19" t="str">
        <f>IF(M9="","",IF(M9&gt;=70,"Excellent",IF(M9&gt;=50,"Credit",IF(M9&gt;=40,"Pass","Fail"))))</f>
        <v/>
      </c>
      <c r="Q9" s="17"/>
    </row>
    <row r="10" spans="1:18" ht="12.75" customHeight="1" x14ac:dyDescent="0.25">
      <c r="A10" s="17">
        <v>2</v>
      </c>
      <c r="B10" s="18" t="s">
        <v>25</v>
      </c>
      <c r="C10" s="17"/>
      <c r="D10" s="17"/>
      <c r="E10" s="19" t="str">
        <f t="shared" si="0"/>
        <v/>
      </c>
      <c r="F10" s="17"/>
      <c r="G10" s="19" t="str">
        <f t="shared" si="1"/>
        <v/>
      </c>
      <c r="H10" s="17"/>
      <c r="I10" s="19" t="str">
        <f t="shared" ref="I10:I21" si="4">IF(G10="","",IF(G10&gt;=70,"A",IF(G10&gt;=50,"C",IF(G10&gt;=40,"P","F"))))</f>
        <v/>
      </c>
      <c r="J10" s="17"/>
      <c r="K10" s="17"/>
      <c r="L10" s="19" t="str">
        <f t="shared" si="2"/>
        <v/>
      </c>
      <c r="M10" s="20" t="str">
        <f t="shared" si="3"/>
        <v/>
      </c>
      <c r="N10" s="17"/>
      <c r="O10" s="19" t="str">
        <f t="shared" ref="O10:O21" si="5">IF(M10="","",IF(M10&gt;=70,"A",IF(M10&gt;=50,"C",IF(M10&gt;=40,"P","F"))))</f>
        <v/>
      </c>
      <c r="P10" s="19" t="str">
        <f t="shared" ref="P10:P21" si="6">IF(M10="","",IF(M10&gt;=70,"Excellent",IF(M10&gt;=50,"Credit",IF(M10&gt;=40,"Pass","Fail"))))</f>
        <v/>
      </c>
      <c r="Q10" s="17"/>
    </row>
    <row r="11" spans="1:18" ht="12.75" customHeight="1" x14ac:dyDescent="0.25">
      <c r="A11" s="17">
        <v>3</v>
      </c>
      <c r="B11" s="18" t="s">
        <v>26</v>
      </c>
      <c r="C11" s="17"/>
      <c r="D11" s="17"/>
      <c r="E11" s="19" t="str">
        <f t="shared" si="0"/>
        <v/>
      </c>
      <c r="F11" s="17"/>
      <c r="G11" s="19" t="str">
        <f t="shared" si="1"/>
        <v/>
      </c>
      <c r="H11" s="17"/>
      <c r="I11" s="19" t="str">
        <f t="shared" si="4"/>
        <v/>
      </c>
      <c r="J11" s="17"/>
      <c r="K11" s="17"/>
      <c r="L11" s="19" t="str">
        <f t="shared" si="2"/>
        <v/>
      </c>
      <c r="M11" s="20" t="str">
        <f>IF(L11="","",IFERROR(ROUND(L11/3,2),""))</f>
        <v/>
      </c>
      <c r="N11" s="17"/>
      <c r="O11" s="19" t="str">
        <f t="shared" si="5"/>
        <v/>
      </c>
      <c r="P11" s="19" t="str">
        <f t="shared" si="6"/>
        <v/>
      </c>
      <c r="Q11" s="17"/>
    </row>
    <row r="12" spans="1:18" ht="12.75" customHeight="1" x14ac:dyDescent="0.25">
      <c r="A12" s="17">
        <v>4</v>
      </c>
      <c r="B12" s="18" t="s">
        <v>27</v>
      </c>
      <c r="C12" s="17"/>
      <c r="D12" s="17"/>
      <c r="E12" s="19" t="str">
        <f t="shared" si="0"/>
        <v/>
      </c>
      <c r="F12" s="17"/>
      <c r="G12" s="19" t="str">
        <f t="shared" si="1"/>
        <v/>
      </c>
      <c r="H12" s="17"/>
      <c r="I12" s="19" t="str">
        <f t="shared" si="4"/>
        <v/>
      </c>
      <c r="J12" s="17"/>
      <c r="K12" s="17"/>
      <c r="L12" s="19" t="str">
        <f t="shared" si="2"/>
        <v/>
      </c>
      <c r="M12" s="20" t="str">
        <f t="shared" si="3"/>
        <v/>
      </c>
      <c r="N12" s="17"/>
      <c r="O12" s="19" t="str">
        <f t="shared" si="5"/>
        <v/>
      </c>
      <c r="P12" s="19" t="str">
        <f t="shared" si="6"/>
        <v/>
      </c>
      <c r="Q12" s="17"/>
    </row>
    <row r="13" spans="1:18" ht="12.75" customHeight="1" x14ac:dyDescent="0.25">
      <c r="A13" s="17">
        <v>5</v>
      </c>
      <c r="B13" s="18" t="s">
        <v>28</v>
      </c>
      <c r="C13" s="17"/>
      <c r="D13" s="17"/>
      <c r="E13" s="19" t="str">
        <f t="shared" si="0"/>
        <v/>
      </c>
      <c r="F13" s="17"/>
      <c r="G13" s="19" t="str">
        <f t="shared" si="1"/>
        <v/>
      </c>
      <c r="H13" s="17"/>
      <c r="I13" s="19" t="str">
        <f t="shared" si="4"/>
        <v/>
      </c>
      <c r="J13" s="17"/>
      <c r="K13" s="17"/>
      <c r="L13" s="19" t="str">
        <f t="shared" si="2"/>
        <v/>
      </c>
      <c r="M13" s="20" t="str">
        <f t="shared" si="3"/>
        <v/>
      </c>
      <c r="N13" s="17"/>
      <c r="O13" s="19" t="str">
        <f t="shared" si="5"/>
        <v/>
      </c>
      <c r="P13" s="19" t="str">
        <f t="shared" si="6"/>
        <v/>
      </c>
      <c r="Q13" s="17"/>
    </row>
    <row r="14" spans="1:18" ht="12.75" customHeight="1" x14ac:dyDescent="0.25">
      <c r="A14" s="17">
        <v>6</v>
      </c>
      <c r="B14" s="18" t="s">
        <v>29</v>
      </c>
      <c r="C14" s="17"/>
      <c r="D14" s="17"/>
      <c r="E14" s="19" t="str">
        <f t="shared" si="0"/>
        <v/>
      </c>
      <c r="F14" s="17"/>
      <c r="G14" s="19" t="str">
        <f t="shared" si="1"/>
        <v/>
      </c>
      <c r="H14" s="17"/>
      <c r="I14" s="19" t="str">
        <f t="shared" si="4"/>
        <v/>
      </c>
      <c r="J14" s="17"/>
      <c r="K14" s="17"/>
      <c r="L14" s="19" t="str">
        <f t="shared" si="2"/>
        <v/>
      </c>
      <c r="M14" s="20" t="str">
        <f t="shared" si="3"/>
        <v/>
      </c>
      <c r="N14" s="17"/>
      <c r="O14" s="19" t="str">
        <f t="shared" si="5"/>
        <v/>
      </c>
      <c r="P14" s="19" t="str">
        <f t="shared" si="6"/>
        <v/>
      </c>
      <c r="Q14" s="17"/>
    </row>
    <row r="15" spans="1:18" ht="12.75" customHeight="1" x14ac:dyDescent="0.25">
      <c r="A15" s="17">
        <v>7</v>
      </c>
      <c r="B15" s="18" t="s">
        <v>30</v>
      </c>
      <c r="C15" s="17"/>
      <c r="D15" s="17"/>
      <c r="E15" s="19" t="str">
        <f t="shared" si="0"/>
        <v/>
      </c>
      <c r="F15" s="17"/>
      <c r="G15" s="19" t="str">
        <f t="shared" si="1"/>
        <v/>
      </c>
      <c r="H15" s="17"/>
      <c r="I15" s="19" t="str">
        <f t="shared" si="4"/>
        <v/>
      </c>
      <c r="J15" s="17"/>
      <c r="K15" s="17"/>
      <c r="L15" s="19" t="str">
        <f t="shared" si="2"/>
        <v/>
      </c>
      <c r="M15" s="20" t="str">
        <f t="shared" si="3"/>
        <v/>
      </c>
      <c r="N15" s="17"/>
      <c r="O15" s="19" t="str">
        <f t="shared" si="5"/>
        <v/>
      </c>
      <c r="P15" s="19" t="str">
        <f t="shared" si="6"/>
        <v/>
      </c>
      <c r="Q15" s="17"/>
    </row>
    <row r="16" spans="1:18" ht="12.75" customHeight="1" x14ac:dyDescent="0.25">
      <c r="A16" s="17">
        <v>8</v>
      </c>
      <c r="B16" s="18" t="s">
        <v>31</v>
      </c>
      <c r="C16" s="17"/>
      <c r="D16" s="17"/>
      <c r="E16" s="19" t="str">
        <f t="shared" si="0"/>
        <v/>
      </c>
      <c r="F16" s="17"/>
      <c r="G16" s="19" t="str">
        <f t="shared" si="1"/>
        <v/>
      </c>
      <c r="H16" s="17"/>
      <c r="I16" s="19" t="str">
        <f t="shared" si="4"/>
        <v/>
      </c>
      <c r="J16" s="17"/>
      <c r="K16" s="17"/>
      <c r="L16" s="19" t="str">
        <f t="shared" si="2"/>
        <v/>
      </c>
      <c r="M16" s="20" t="str">
        <f t="shared" si="3"/>
        <v/>
      </c>
      <c r="N16" s="17"/>
      <c r="O16" s="19" t="str">
        <f t="shared" si="5"/>
        <v/>
      </c>
      <c r="P16" s="19" t="str">
        <f t="shared" si="6"/>
        <v/>
      </c>
      <c r="Q16" s="17"/>
    </row>
    <row r="17" spans="1:21" ht="12.75" customHeight="1" x14ac:dyDescent="0.25">
      <c r="A17" s="17">
        <v>9</v>
      </c>
      <c r="B17" s="18" t="s">
        <v>32</v>
      </c>
      <c r="C17" s="17"/>
      <c r="D17" s="17"/>
      <c r="E17" s="19" t="str">
        <f t="shared" si="0"/>
        <v/>
      </c>
      <c r="F17" s="17"/>
      <c r="G17" s="19" t="str">
        <f t="shared" si="1"/>
        <v/>
      </c>
      <c r="H17" s="17"/>
      <c r="I17" s="19" t="str">
        <f t="shared" si="4"/>
        <v/>
      </c>
      <c r="J17" s="17"/>
      <c r="K17" s="17"/>
      <c r="L17" s="19" t="str">
        <f t="shared" si="2"/>
        <v/>
      </c>
      <c r="M17" s="20" t="str">
        <f t="shared" si="3"/>
        <v/>
      </c>
      <c r="N17" s="17"/>
      <c r="O17" s="19" t="str">
        <f t="shared" si="5"/>
        <v/>
      </c>
      <c r="P17" s="19" t="str">
        <f t="shared" si="6"/>
        <v/>
      </c>
      <c r="Q17" s="17"/>
    </row>
    <row r="18" spans="1:21" ht="12.75" customHeight="1" x14ac:dyDescent="0.25">
      <c r="A18" s="17">
        <v>10</v>
      </c>
      <c r="B18" s="18" t="s">
        <v>33</v>
      </c>
      <c r="C18" s="17"/>
      <c r="D18" s="17"/>
      <c r="E18" s="19" t="str">
        <f t="shared" si="0"/>
        <v/>
      </c>
      <c r="F18" s="17"/>
      <c r="G18" s="19" t="str">
        <f t="shared" si="1"/>
        <v/>
      </c>
      <c r="H18" s="17"/>
      <c r="I18" s="19" t="str">
        <f t="shared" si="4"/>
        <v/>
      </c>
      <c r="J18" s="17"/>
      <c r="K18" s="17"/>
      <c r="L18" s="19" t="str">
        <f t="shared" si="2"/>
        <v/>
      </c>
      <c r="M18" s="20" t="str">
        <f t="shared" si="3"/>
        <v/>
      </c>
      <c r="N18" s="17"/>
      <c r="O18" s="19" t="str">
        <f t="shared" si="5"/>
        <v/>
      </c>
      <c r="P18" s="19" t="str">
        <f t="shared" si="6"/>
        <v/>
      </c>
      <c r="Q18" s="17"/>
    </row>
    <row r="19" spans="1:21" ht="12.75" customHeight="1" x14ac:dyDescent="0.25">
      <c r="A19" s="17">
        <v>11</v>
      </c>
      <c r="B19" s="18" t="s">
        <v>34</v>
      </c>
      <c r="C19" s="17"/>
      <c r="D19" s="17"/>
      <c r="E19" s="19" t="str">
        <f t="shared" si="0"/>
        <v/>
      </c>
      <c r="F19" s="17"/>
      <c r="G19" s="19" t="str">
        <f t="shared" si="1"/>
        <v/>
      </c>
      <c r="H19" s="17"/>
      <c r="I19" s="19" t="str">
        <f t="shared" si="4"/>
        <v/>
      </c>
      <c r="J19" s="17"/>
      <c r="K19" s="17"/>
      <c r="L19" s="19" t="str">
        <f t="shared" si="2"/>
        <v/>
      </c>
      <c r="M19" s="20" t="str">
        <f t="shared" si="3"/>
        <v/>
      </c>
      <c r="N19" s="17"/>
      <c r="O19" s="19" t="str">
        <f t="shared" si="5"/>
        <v/>
      </c>
      <c r="P19" s="19" t="str">
        <f t="shared" si="6"/>
        <v/>
      </c>
      <c r="Q19" s="17"/>
    </row>
    <row r="20" spans="1:21" ht="12.75" customHeight="1" x14ac:dyDescent="0.25">
      <c r="A20" s="17">
        <v>12</v>
      </c>
      <c r="B20" s="18" t="s">
        <v>35</v>
      </c>
      <c r="C20" s="17"/>
      <c r="D20" s="17"/>
      <c r="E20" s="19" t="str">
        <f t="shared" si="0"/>
        <v/>
      </c>
      <c r="F20" s="17"/>
      <c r="G20" s="19" t="str">
        <f t="shared" si="1"/>
        <v/>
      </c>
      <c r="H20" s="17"/>
      <c r="I20" s="19" t="str">
        <f t="shared" si="4"/>
        <v/>
      </c>
      <c r="J20" s="17"/>
      <c r="K20" s="17"/>
      <c r="L20" s="19" t="str">
        <f t="shared" si="2"/>
        <v/>
      </c>
      <c r="M20" s="20" t="str">
        <f t="shared" si="3"/>
        <v/>
      </c>
      <c r="N20" s="17"/>
      <c r="O20" s="19" t="str">
        <f t="shared" si="5"/>
        <v/>
      </c>
      <c r="P20" s="19" t="str">
        <f t="shared" si="6"/>
        <v/>
      </c>
      <c r="Q20" s="17"/>
    </row>
    <row r="21" spans="1:21" ht="12.75" customHeight="1" x14ac:dyDescent="0.25">
      <c r="A21" s="17">
        <v>13</v>
      </c>
      <c r="B21" s="18" t="s">
        <v>36</v>
      </c>
      <c r="C21" s="17"/>
      <c r="D21" s="17"/>
      <c r="E21" s="19" t="str">
        <f t="shared" si="0"/>
        <v/>
      </c>
      <c r="F21" s="17"/>
      <c r="G21" s="19" t="str">
        <f t="shared" si="1"/>
        <v/>
      </c>
      <c r="H21" s="17"/>
      <c r="I21" s="19" t="str">
        <f t="shared" si="4"/>
        <v/>
      </c>
      <c r="J21" s="17"/>
      <c r="K21" s="17"/>
      <c r="L21" s="19" t="str">
        <f t="shared" si="2"/>
        <v/>
      </c>
      <c r="M21" s="20" t="str">
        <f t="shared" si="3"/>
        <v/>
      </c>
      <c r="N21" s="17"/>
      <c r="O21" s="19" t="str">
        <f t="shared" si="5"/>
        <v/>
      </c>
      <c r="P21" s="19" t="str">
        <f t="shared" si="6"/>
        <v/>
      </c>
      <c r="Q21" s="17"/>
    </row>
    <row r="22" spans="1:21" ht="19.5" customHeight="1" x14ac:dyDescent="0.25">
      <c r="A22" s="1"/>
      <c r="B22" s="21"/>
      <c r="C22" s="21"/>
      <c r="D22" s="21"/>
      <c r="E22" s="21"/>
      <c r="F22" s="21"/>
      <c r="G22" s="22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21" ht="11.25" customHeight="1" x14ac:dyDescent="0.25">
      <c r="A23" s="30" t="s">
        <v>61</v>
      </c>
      <c r="B23" s="32"/>
      <c r="C23" s="39"/>
      <c r="D23" s="48" t="str">
        <f>IFERROR(ROUND(AVERAGE(G9:G21),2),"")</f>
        <v/>
      </c>
      <c r="E23" s="49"/>
      <c r="F23" s="49"/>
      <c r="G23" s="50"/>
      <c r="H23" s="2"/>
      <c r="I23" s="30"/>
      <c r="J23" s="32"/>
      <c r="K23" s="32"/>
      <c r="L23" s="32"/>
      <c r="M23" s="32"/>
      <c r="N23" s="32"/>
      <c r="O23" s="32"/>
      <c r="P23" s="39"/>
      <c r="Q23" s="18"/>
    </row>
    <row r="24" spans="1:21" ht="12.75" customHeight="1" x14ac:dyDescent="0.25">
      <c r="A24" s="30" t="s">
        <v>37</v>
      </c>
      <c r="B24" s="30"/>
      <c r="C24" s="30"/>
      <c r="D24" s="31">
        <f>IFERROR(SUM(L9:L21),"")</f>
        <v>0</v>
      </c>
      <c r="E24" s="31"/>
      <c r="F24" s="31"/>
      <c r="G24" s="31"/>
      <c r="H24" s="23"/>
      <c r="I24" s="30" t="s">
        <v>38</v>
      </c>
      <c r="J24" s="30"/>
      <c r="K24" s="30"/>
      <c r="L24" s="30"/>
      <c r="M24" s="47"/>
      <c r="N24" s="47"/>
      <c r="O24" s="47"/>
      <c r="P24" s="47"/>
      <c r="Q24" s="47"/>
    </row>
    <row r="25" spans="1:21" ht="12.75" customHeight="1" x14ac:dyDescent="0.25">
      <c r="A25" s="30" t="s">
        <v>39</v>
      </c>
      <c r="B25" s="30"/>
      <c r="C25" s="30"/>
      <c r="D25" s="31" t="str">
        <f>IFERROR(ROUND(AVERAGE(M9:M21),2),"")</f>
        <v/>
      </c>
      <c r="E25" s="31"/>
      <c r="F25" s="31"/>
      <c r="G25" s="31"/>
      <c r="H25" s="23"/>
      <c r="I25" s="30" t="s">
        <v>40</v>
      </c>
      <c r="J25" s="30"/>
      <c r="K25" s="30"/>
      <c r="L25" s="30"/>
      <c r="M25" s="40"/>
      <c r="N25" s="41"/>
      <c r="O25" s="41"/>
      <c r="P25" s="40"/>
      <c r="Q25" s="42"/>
    </row>
    <row r="26" spans="1:21" ht="12.75" customHeight="1" x14ac:dyDescent="0.25">
      <c r="A26" s="30" t="s">
        <v>41</v>
      </c>
      <c r="B26" s="30"/>
      <c r="C26" s="30"/>
      <c r="D26" s="31">
        <f>COUNTIF(M9:M21,"&gt;=50")</f>
        <v>0</v>
      </c>
      <c r="E26" s="31"/>
      <c r="F26" s="31"/>
      <c r="G26" s="31"/>
      <c r="H26" s="23"/>
      <c r="I26" s="30" t="s">
        <v>42</v>
      </c>
      <c r="J26" s="30"/>
      <c r="K26" s="30"/>
      <c r="L26" s="30"/>
      <c r="M26" s="30"/>
      <c r="N26" s="32"/>
      <c r="O26" s="32"/>
      <c r="P26" s="32"/>
      <c r="Q26" s="39"/>
    </row>
    <row r="27" spans="1:21" ht="12.75" customHeight="1" x14ac:dyDescent="0.25">
      <c r="A27" s="30" t="s">
        <v>43</v>
      </c>
      <c r="B27" s="30"/>
      <c r="C27" s="30"/>
      <c r="D27" s="31">
        <f>COUNTIFS(M9:M21,"&gt;="&amp;40,M9:M21,"&lt;"&amp;50)</f>
        <v>0</v>
      </c>
      <c r="E27" s="31"/>
      <c r="F27" s="31"/>
      <c r="G27" s="31"/>
      <c r="H27" s="23"/>
      <c r="I27" s="40"/>
      <c r="J27" s="40"/>
      <c r="K27" s="40"/>
      <c r="L27" s="40"/>
      <c r="M27" s="24"/>
      <c r="P27" s="43" t="s">
        <v>44</v>
      </c>
      <c r="Q27" s="43"/>
    </row>
    <row r="28" spans="1:21" ht="22.5" customHeight="1" x14ac:dyDescent="0.25">
      <c r="A28" s="30" t="s">
        <v>45</v>
      </c>
      <c r="B28" s="30"/>
      <c r="C28" s="30"/>
      <c r="D28" s="31">
        <f>COUNTIF(M9:M21,"&lt;40")</f>
        <v>0</v>
      </c>
      <c r="E28" s="31"/>
      <c r="F28" s="31"/>
      <c r="G28" s="31"/>
      <c r="H28" s="23"/>
      <c r="I28" s="30" t="s">
        <v>46</v>
      </c>
      <c r="J28" s="32"/>
      <c r="K28" s="32"/>
      <c r="L28" s="32"/>
      <c r="M28" s="33"/>
      <c r="N28" s="34"/>
      <c r="O28" s="35"/>
      <c r="P28" s="28" t="s">
        <v>47</v>
      </c>
      <c r="Q28" s="28" t="s">
        <v>48</v>
      </c>
      <c r="T28" s="25"/>
      <c r="U28" s="26"/>
    </row>
    <row r="29" spans="1:21" ht="19.5" customHeight="1" x14ac:dyDescent="0.25">
      <c r="A29" s="30" t="s">
        <v>49</v>
      </c>
      <c r="B29" s="30"/>
      <c r="C29" s="30"/>
      <c r="D29" s="36"/>
      <c r="E29" s="36"/>
      <c r="F29" s="36"/>
      <c r="G29" s="36"/>
      <c r="H29" s="27"/>
      <c r="I29" s="37"/>
      <c r="J29" s="37"/>
      <c r="K29" s="37"/>
      <c r="L29" s="37"/>
      <c r="M29" s="27"/>
      <c r="P29" s="29" t="s">
        <v>50</v>
      </c>
      <c r="Q29" s="29" t="s">
        <v>51</v>
      </c>
      <c r="T29" s="25"/>
      <c r="U29" s="25"/>
    </row>
    <row r="30" spans="1:21" ht="15.75" customHeight="1" x14ac:dyDescent="0.25">
      <c r="A30" s="30" t="s">
        <v>52</v>
      </c>
      <c r="B30" s="30"/>
      <c r="C30" s="30"/>
      <c r="D30" s="3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9"/>
      <c r="P30" s="29" t="s">
        <v>53</v>
      </c>
      <c r="Q30" s="29" t="s">
        <v>54</v>
      </c>
      <c r="T30" s="25"/>
      <c r="U30" s="25"/>
    </row>
    <row r="31" spans="1:21" ht="15.75" customHeight="1" x14ac:dyDescent="0.25">
      <c r="A31" s="38" t="s">
        <v>55</v>
      </c>
      <c r="B31" s="38"/>
      <c r="C31" s="38"/>
      <c r="D31" s="40"/>
      <c r="E31" s="41"/>
      <c r="F31" s="41"/>
      <c r="G31" s="41"/>
      <c r="H31" s="42"/>
      <c r="I31" s="33"/>
      <c r="J31" s="34"/>
      <c r="K31" s="34"/>
      <c r="L31" s="34"/>
      <c r="M31" s="34"/>
      <c r="N31" s="34"/>
      <c r="O31" s="35"/>
      <c r="P31" s="29" t="s">
        <v>56</v>
      </c>
      <c r="Q31" s="29" t="s">
        <v>57</v>
      </c>
      <c r="T31" s="25"/>
      <c r="U31" s="25"/>
    </row>
    <row r="32" spans="1:21" ht="15.75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5"/>
      <c r="P32" s="29" t="s">
        <v>58</v>
      </c>
      <c r="Q32" s="29" t="s">
        <v>59</v>
      </c>
      <c r="T32" s="25"/>
      <c r="U32" s="25"/>
    </row>
    <row r="33" spans="20:21" ht="12.75" customHeight="1" x14ac:dyDescent="0.25">
      <c r="T33" s="25"/>
      <c r="U33" s="25"/>
    </row>
    <row r="34" spans="20:21" ht="12.75" customHeight="1" x14ac:dyDescent="0.25">
      <c r="T34" s="25"/>
      <c r="U34" s="25"/>
    </row>
    <row r="35" spans="20:21" ht="12.75" customHeight="1" x14ac:dyDescent="0.25"/>
    <row r="36" spans="20:21" ht="12.75" customHeight="1" x14ac:dyDescent="0.25"/>
    <row r="37" spans="20:21" ht="12.75" customHeight="1" x14ac:dyDescent="0.25"/>
    <row r="38" spans="20:21" ht="12.75" customHeight="1" x14ac:dyDescent="0.25"/>
    <row r="39" spans="20:21" ht="12.75" customHeight="1" x14ac:dyDescent="0.25"/>
  </sheetData>
  <sheetProtection algorithmName="SHA-512" hashValue="e3HizsHstQPGd+2kHMOnqmepOQwM8FfAFbejGRVKBS1wPaNpBZQb4Qt+oP2131Kfng5W9RxdOTzqGGTEQ/G4lA==" saltValue="8w6NiBxX0nT8Zh+TO8PI/g==" spinCount="100000" sheet="1" objects="1" scenarios="1"/>
  <mergeCells count="49">
    <mergeCell ref="A1:A4"/>
    <mergeCell ref="B1:P1"/>
    <mergeCell ref="Q1:Q4"/>
    <mergeCell ref="B2:P2"/>
    <mergeCell ref="B3:P3"/>
    <mergeCell ref="B4:P4"/>
    <mergeCell ref="B5:F5"/>
    <mergeCell ref="G5:H5"/>
    <mergeCell ref="I5:K5"/>
    <mergeCell ref="C6:E6"/>
    <mergeCell ref="F6:G6"/>
    <mergeCell ref="H6:I6"/>
    <mergeCell ref="J6:K6"/>
    <mergeCell ref="L6:M6"/>
    <mergeCell ref="N6:O6"/>
    <mergeCell ref="B7:P7"/>
    <mergeCell ref="A24:C24"/>
    <mergeCell ref="D24:G24"/>
    <mergeCell ref="I24:L24"/>
    <mergeCell ref="M24:Q24"/>
    <mergeCell ref="A23:C23"/>
    <mergeCell ref="D23:G23"/>
    <mergeCell ref="I23:P23"/>
    <mergeCell ref="A32:O32"/>
    <mergeCell ref="M25:O25"/>
    <mergeCell ref="P25:Q25"/>
    <mergeCell ref="M26:Q26"/>
    <mergeCell ref="A27:C27"/>
    <mergeCell ref="D27:G27"/>
    <mergeCell ref="I27:L27"/>
    <mergeCell ref="P27:Q27"/>
    <mergeCell ref="A25:C25"/>
    <mergeCell ref="D25:G25"/>
    <mergeCell ref="I25:L25"/>
    <mergeCell ref="A26:C26"/>
    <mergeCell ref="D26:G26"/>
    <mergeCell ref="I26:L26"/>
    <mergeCell ref="A30:C30"/>
    <mergeCell ref="A31:C31"/>
    <mergeCell ref="D30:O30"/>
    <mergeCell ref="D31:H31"/>
    <mergeCell ref="I31:O31"/>
    <mergeCell ref="A28:C28"/>
    <mergeCell ref="D28:G28"/>
    <mergeCell ref="I28:L28"/>
    <mergeCell ref="M28:O28"/>
    <mergeCell ref="A29:C29"/>
    <mergeCell ref="D29:G29"/>
    <mergeCell ref="I29:L29"/>
  </mergeCells>
  <dataValidations count="3">
    <dataValidation type="whole" allowBlank="1" showErrorMessage="1" errorTitle="Score Too High" error="1st CA must be 0 to 20." sqref="C9:C22" xr:uid="{00000000-0002-0000-0000-000000000000}">
      <formula1>0</formula1>
      <formula2>20</formula2>
    </dataValidation>
    <dataValidation type="whole" allowBlank="1" showErrorMessage="1" errorTitle="Score Too High" error="2nd CA must be 0 to 20." sqref="D9:D22" xr:uid="{00000000-0002-0000-0000-000001000000}">
      <formula1>0</formula1>
      <formula2>20</formula2>
    </dataValidation>
    <dataValidation type="whole" allowBlank="1" showErrorMessage="1" errorTitle="Score Too High" error="Exam must be 0 to 60." sqref="F9:F22" xr:uid="{00000000-0002-0000-0000-000002000000}">
      <formula1>0</formula1>
      <formula2>60</formula2>
    </dataValidation>
  </dataValidations>
  <pageMargins left="0.25" right="0.25" top="0.3" bottom="0.3" header="0.511811023622047" footer="0.5"/>
  <pageSetup paperSize="9" orientation="landscape" horizontalDpi="300" verticalDpi="300" r:id="rId1"/>
  <headerFooter>
    <oddFooter>&amp;LBEST START ACADEMY&amp;C&amp;A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 SHEET </vt:lpstr>
      <vt:lpstr>'RESULT 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ANNY Etim</dc:creator>
  <dc:description/>
  <cp:lastModifiedBy>ANIEDI ETIM</cp:lastModifiedBy>
  <cp:revision>0</cp:revision>
  <cp:lastPrinted>2026-06-14T16:07:27Z</cp:lastPrinted>
  <dcterms:created xsi:type="dcterms:W3CDTF">2026-06-12T19:52:37Z</dcterms:created>
  <dcterms:modified xsi:type="dcterms:W3CDTF">2026-07-18T12:05:35Z</dcterms:modified>
  <dc:language>en-US</dc:language>
</cp:coreProperties>
</file>